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rizioPeroni\Desktop\Nuova cartella\"/>
    </mc:Choice>
  </mc:AlternateContent>
  <xr:revisionPtr revIDLastSave="0" documentId="13_ncr:1_{13F2F109-590E-468F-B00A-418B35D2688D}" xr6:coauthVersionLast="47" xr6:coauthVersionMax="47" xr10:uidLastSave="{00000000-0000-0000-0000-000000000000}"/>
  <bookViews>
    <workbookView xWindow="-108" yWindow="-108" windowWidth="23256" windowHeight="12456" tabRatio="991" xr2:uid="{CEF1D1A1-99BA-43E8-8E1C-5790978F4876}"/>
  </bookViews>
  <sheets>
    <sheet name="power_query" sheetId="22" r:id="rId1"/>
    <sheet name="executions" sheetId="1" r:id="rId2"/>
    <sheet name="executions_strategygroups" sheetId="4" r:id="rId3"/>
    <sheet name="strategygroups" sheetId="6" r:id="rId4"/>
    <sheet name="strategygroups_strategies" sheetId="7" r:id="rId5"/>
    <sheet name="strategies" sheetId="2" r:id="rId6"/>
    <sheet name="strategies_securities" sheetId="5" r:id="rId7"/>
    <sheet name="securities" sheetId="3" r:id="rId8"/>
  </sheets>
  <functionGroups builtInGroupCount="19"/>
  <definedNames>
    <definedName name="_xlpm.filteredData" hidden="1" xlm="1">#NAME?</definedName>
    <definedName name="_xlpm.headers" hidden="1" xlm="1">#NAME?</definedName>
    <definedName name="_xlpm.rowData" hidden="1" xlm="1">#NAME?</definedName>
    <definedName name="ExternalData_8" localSheetId="0" hidden="1">power_query!$A$1:$A$2</definedName>
    <definedName name="ExternalData_9" localSheetId="0" hidden="1">power_query!$C$1:$C$3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 a="1"/>
  <c r="B2" i="3" s="1"/>
  <c r="D1" i="22"/>
  <c r="D2" i="22"/>
  <c r="B1" i="22"/>
  <c r="B2" i="22"/>
  <c r="A2" i="2" a="1"/>
  <c r="A2" i="2" s="1"/>
  <c r="A2" i="6" a="1"/>
  <c r="A2" i="6" s="1"/>
  <c r="A2" i="3" a="1"/>
  <c r="A2" i="3" s="1"/>
  <c r="A2" i="1" a="1"/>
  <c r="A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CC8615-E59F-447C-8C2A-4BECBE6BF31D}" keepAlive="1" name="Query - csv" description="Connection to the 'csv' query in the workbook." type="5" refreshedVersion="8" saveData="1">
    <dbPr connection="Provider=Microsoft.Mashup.OleDb.1;Data Source=$Workbook$;Location=csv;Extended Properties=&quot;&quot;" command="SELECT * FROM [csv]"/>
  </connection>
  <connection id="2" xr16:uid="{895C0877-546A-4E5B-9D82-798FFF504353}" keepAlive="1" name="Query - execution" description="Connection to the 'execution' query in the workbook." type="5" refreshedVersion="0">
    <dbPr connection="Provider=Microsoft.Mashup.OleDb.1;Data Source=$Workbook$;Location=execution;Extended Properties=&quot;&quot;" command="SELECT * FROM [execution]"/>
  </connection>
  <connection id="3" xr16:uid="{448F1510-E374-46E9-A60F-0BE87111081F}" keepAlive="1" name="Query - executions_strategygroups" description="Connection to the 'executions_strategygroups' query in the workbook." type="5" refreshedVersion="0">
    <dbPr connection="Provider=Microsoft.Mashup.OleDb.1;Data Source=$Workbook$;Location=executions_strategygroups;Extended Properties=&quot;&quot;" command="SELECT * FROM [executions_strategygroups]"/>
  </connection>
  <connection id="4" xr16:uid="{8950873E-1FD7-4F95-AF20-A5C80521B248}" keepAlive="1" name="Query - json" description="Connection to the 'json' query in the workbook." type="5" refreshedVersion="8" saveData="1">
    <dbPr connection="Provider=Microsoft.Mashup.OleDb.1;Data Source=$Workbook$;Location=json;Extended Properties=&quot;&quot;" command="SELECT * FROM [json]"/>
  </connection>
  <connection id="5" xr16:uid="{5F7BDC34-335B-4225-BD80-AA1E21DD3D79}" keepAlive="1" name="Query - securities" description="Connection to the 'securities' query in the workbook." type="5" refreshedVersion="0">
    <dbPr connection="Provider=Microsoft.Mashup.OleDb.1;Data Source=$Workbook$;Location=securities;Extended Properties=&quot;&quot;" command="SELECT * FROM [securities]"/>
  </connection>
  <connection id="6" xr16:uid="{DAC870A8-EBFC-435E-BD3E-9F98ED4048F8}" keepAlive="1" name="Query - strategies" description="Connection to the 'strategies' query in the workbook." type="5" refreshedVersion="0">
    <dbPr connection="Provider=Microsoft.Mashup.OleDb.1;Data Source=$Workbook$;Location=strategies;Extended Properties=&quot;&quot;" command="SELECT * FROM [strategies]"/>
  </connection>
  <connection id="7" xr16:uid="{C508498F-F74A-470A-8D29-5D1017662DDD}" keepAlive="1" name="Query - strategies_securities" description="Connection to the 'strategies_securities' query in the workbook." type="5" refreshedVersion="0">
    <dbPr connection="Provider=Microsoft.Mashup.OleDb.1;Data Source=$Workbook$;Location=strategies_securities;Extended Properties=&quot;&quot;" command="SELECT * FROM [strategies_securities]"/>
  </connection>
  <connection id="8" xr16:uid="{50493FF5-7595-4A37-BC49-9EEE51B4F4BA}" keepAlive="1" name="Query - strategygroups" description="Connection to the 'strategygroups' query in the workbook." type="5" refreshedVersion="0">
    <dbPr connection="Provider=Microsoft.Mashup.OleDb.1;Data Source=$Workbook$;Location=strategygroups;Extended Properties=&quot;&quot;" command="SELECT * FROM [strategygroups]"/>
  </connection>
  <connection id="9" xr16:uid="{8FBEC954-76C1-451E-813C-AAD64FD6CFD3}" keepAlive="1" name="Query - strategygroups_strategies" description="Connection to the 'strategygroups_strategies' query in the workbook." type="5" refreshedVersion="0">
    <dbPr connection="Provider=Microsoft.Mashup.OleDb.1;Data Source=$Workbook$;Location=strategygroups_strategies;Extended Properties=&quot;&quot;" command="SELECT * FROM [strategygroups_strategi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<sst xmlns="http://schemas.openxmlformats.org/spreadsheetml/2006/main" count="50" uniqueCount="39">
  <si>
    <t>execution_id</t>
  </si>
  <si>
    <t>execution_1</t>
  </si>
  <si>
    <t>strategy_id</t>
  </si>
  <si>
    <t>strategy_name</t>
  </si>
  <si>
    <t>strategy_1</t>
  </si>
  <si>
    <t>SPX</t>
  </si>
  <si>
    <t>IndexOption</t>
  </si>
  <si>
    <t>Daily</t>
  </si>
  <si>
    <t>security_id</t>
  </si>
  <si>
    <t>ticker</t>
  </si>
  <si>
    <t>securitytype</t>
  </si>
  <si>
    <t>resolution</t>
  </si>
  <si>
    <t>security_key</t>
  </si>
  <si>
    <t>strategy_key</t>
  </si>
  <si>
    <t>execution_key</t>
  </si>
  <si>
    <t>optionchain_filter.weeklysonly</t>
  </si>
  <si>
    <t>optionchain_filter.include_weeklys</t>
  </si>
  <si>
    <t>optionchain_filter.callsonly</t>
  </si>
  <si>
    <t>optionchain_filter.putsonly</t>
  </si>
  <si>
    <t>optionchain_filter.expiration.min_days</t>
  </si>
  <si>
    <t>optionchain_filter.expiration.max_days</t>
  </si>
  <si>
    <t>optionchain_filter.strikes.min_strike</t>
  </si>
  <si>
    <t>optionchain_filter.strikes.max_strike</t>
  </si>
  <si>
    <t>strategygroup_key</t>
  </si>
  <si>
    <t>strategygroup_id</t>
  </si>
  <si>
    <t>strategygroup_1</t>
  </si>
  <si>
    <t>SPX-IndexOption-Daily-1-1-45</t>
  </si>
  <si>
    <t>iron_condor</t>
  </si>
  <si>
    <t>json</t>
  </si>
  <si>
    <t>// Lista di record annidati
[nome=topolino|eta=35|indirizzo.via=via roma|indirizzo.citta=roma|indirizzo.cap=00100, nome=paperino|eta=40|indirizzo.via=via milano|indirizzo.citta=milano|indirizzo.cap=20100]
// Record con liste e annidamenti
nome=topolino|hobby=[calcio, musica, [strumenti=[piano, chitarra]]]|status=true|eta=35|nullField=null
// Lista con valori complessi annidati
[napoli.population=1000000|napoli.attractions=[mare, monumenti, {arte=[statue, quadri]}], roma.population=2800000|roma.attractions=[colosseo, fontana, musei]]
// Regole:
// 1) Usa "|" per separare coppie chiave=valore a livello dizionario
// 2) Usa "," per separare elementi lista dentro []
// 3) Usa "." per annidare chiavi (es. padre.figlio=valore)
// 4) Evita chiavi duplicate nello stesso livello (es. napoli.population=... due volte non valido)
// 5) Supporta valori nativi: numeri (123, 12.5), booleani (true, false), null (senza virgolette)</t>
  </si>
  <si>
    <t>Istruzioni</t>
  </si>
  <si>
    <t>Codice Qcc test</t>
  </si>
  <si>
    <t>Caricamento su ObjectStore</t>
  </si>
  <si>
    <t>csv</t>
  </si>
  <si>
    <t>execution_id;execution_key;strategygroup_id;strategygroup_key;strategy_id;strategy_key;strategy_name;security_id;security_key;ticker;securitytype;resolution;optionchain_filter.weeklysonly;optionchain_filter.include_weeklys;optionchain_filter.callsonly;optionchain_filter.putsonly;optionchain_filter.expiration.min_days;optionchain_filter.expiration.max_days;optionchain_filter.strikes.min_strike;optionchain_filter.strikes.max_strike</t>
  </si>
  <si>
    <t>1;execution_1;1;strategygroup_1;1;strategy_1;iron_condor;;;;;;;;;;;;;</t>
  </si>
  <si>
    <t>from AlgorithmImports import *
import json
import csv
class SmoothFluorescentOrangeCaribou(QCAlgorithm):
    def Initialize(self):
        self.SetStartDate(2023, 1, 1)
        self.SetEndDate(2023, 1, 2)
        self.SetCash(100000)
        try:
            # Lettura JSON da Object Store
            if self.ObjectStore.ContainsKey("config/output.json"):
                file_path_json = self.ObjectStore.GetFilePath("config/output.json")
                with open(file_path_json, 'r') as file_json:
                    json_data = json.load(file_json)
                self.Debug(f"JSON data loaded: {json.dumps(json_data, indent=2)[:1000]}")  # Stampo max 1000 caratteri
            # Lettura CSV da Object Store con delimiter ';'
            if self.ObjectStore.ContainsKey("config/output.csv"):
                file_path_csv = self.ObjectStore.GetFilePath("config/output.csv")
                with open(file_path_csv, 'r') as file_csv:
                    reader = csv.reader(file_csv, delimiter=';')
                    csv_data = list(reader)
                self.Debug(f"CSV data loaded (first 5 rows): {csv_data[:5]}")
        except Exception as e:
            self.Debug(f"Object Store error: {e}")
    def OnData(self, data):
        pass</t>
  </si>
  <si>
    <t>[{"execution_id":1,"execution_key":"execution_1","strategy_groups":[{"strategygroup_id":1,"strategygroup_key":"strategygroup_1","strategies":[{"strategy_id":1,"strategy_key":"strategy_1","strategy_name":"iron_condor","security":[{"strategy_key":"strategy_1"}]}]}]}]</t>
  </si>
  <si>
    <t>from AlgorithmImports import *
import json
import gzip
class MinimalAlgo(QCAlgorithm):
    def Initialize(self):
        self.SetStartDate(2023, 1, 1)
        self.SetEndDate(2023, 1, 2)
        self.SetCash(10000)
        self.ProjectId = 25242518
        # Dati da salvare
        data = {
            "name": "TestData",
            "value": 123.456,
            "items": [1, 2, 3]
        }
        raw_json = json.dumps(data).encode('utf-8')  # JSON -&gt; bytes
        compressed = gzip.compress(raw_json)         # Compress bytes
        key = f"{self.ProjectId}/compressed_data.gz"  # chiave consigliata
        # ✅ Salva i dati compressi
        success = self.ObjectStore.save_bytes(key, compressed)
        if success:
            self.Debug("Dati compressi salvati correttamente.")
        else:
            self.Debug("Errore nel salvataggio.")
# import json
# import gzip
# from AlgorithmImports import *
# qb = QuantBook()
# project_id = 25242518
# key = f"{project_id}/compressed_data.gz"
# # ✅ Leggi come System.Byte[] e convertilo in bytes Python
# compressed_dotnet = qb.ObjectStore.read_bytes(key)
# compressed_bytes = bytes(list(compressed_dotnet))  # Conversione cruciale
# # ✅ Decompressione gzip
# raw_json = gzip.decompress(compressed_bytes).decode('utf-8')
# # ✅ Parsing JSON
# data = json.loads(raw_json)
# print("✅ Dati letti da ObjectStore:")
# print(data)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</si>
</sst>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8"/>
        <bgColor theme="8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0" fontId="1" fillId="4" borderId="2" xfId="0" applyFont="1" applyFill="1" applyBorder="1"/>
    <xf numFmtId="0" fontId="1" fillId="3" borderId="3" xfId="0" applyFont="1" applyFill="1" applyBorder="1"/>
    <xf numFmtId="0" fontId="1" fillId="5" borderId="4" xfId="0" applyFont="1" applyFill="1" applyBorder="1"/>
    <xf numFmtId="0" fontId="2" fillId="0" borderId="0" xfId="0" applyFon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3</xdr:row>
          <xdr:rowOff>91440</xdr:rowOff>
        </xdr:from>
        <xdr:to>
          <xdr:col>0</xdr:col>
          <xdr:colOff>5524500</xdr:colOff>
          <xdr:row>5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Json File on Local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3</xdr:row>
          <xdr:rowOff>99060</xdr:rowOff>
        </xdr:from>
        <xdr:to>
          <xdr:col>2</xdr:col>
          <xdr:colOff>5509260</xdr:colOff>
          <xdr:row>5</xdr:row>
          <xdr:rowOff>91440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csv File on Local Path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38100</xdr:colOff>
      <xdr:row>10</xdr:row>
      <xdr:rowOff>38100</xdr:rowOff>
    </xdr:from>
    <xdr:to>
      <xdr:col>0</xdr:col>
      <xdr:colOff>2799059</xdr:colOff>
      <xdr:row>15</xdr:row>
      <xdr:rowOff>99060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F828B-4903-8969-F6D6-187844CE6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1866900"/>
          <a:ext cx="2760959" cy="97536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4" xr16:uid="{A386CA19-0CC3-43E4-BF45-802B1B821563}" autoFormatId="16" applyNumberFormats="0" applyBorderFormats="0" applyFontFormats="0" applyPatternFormats="0" applyAlignmentFormats="0" applyWidthHeightFormats="0">
  <queryTableRefresh nextId="22">
    <queryTableFields count="1">
      <queryTableField id="21" name="json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1" xr16:uid="{BD13EBBA-7135-4470-B0DE-3700FBE4C0E4}" autoFormatId="16" applyNumberFormats="0" applyBorderFormats="0" applyFontFormats="0" applyPatternFormats="0" applyAlignmentFormats="0" applyWidthHeightFormats="0">
  <queryTableRefresh nextId="49">
    <queryTableFields count="1">
      <queryTableField id="48" name="csv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98DED3C-40E9-4A2D-A8BB-37F9BFB198BA}" name="json" displayName="json" ref="A1:A2" tableType="queryTable" totalsRowShown="0">
  <autoFilter ref="A1:A2" xr:uid="{798DED3C-40E9-4A2D-A8BB-37F9BFB198BA}"/>
  <tableColumns count="1">
    <tableColumn id="1" xr3:uid="{8BAD21AE-60C8-48E0-B2E2-66F17205473B}" uniqueName="1" name="json" queryTableFieldId="21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5CB0B4-3BF6-4FAE-B266-B6E608BBCC9F}" name="csv" displayName="csv" ref="C1:C3" tableType="queryTable" totalsRowShown="0">
  <autoFilter ref="C1:C3" xr:uid="{2F5CB0B4-3BF6-4FAE-B266-B6E608BBCC9F}"/>
  <tableColumns count="1">
    <tableColumn id="27" xr3:uid="{91758493-77B1-4569-B451-C1BE9A7C6ACE}" uniqueName="27" name="csv" queryTableFieldId="48" dataDxfId="0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23221B-3F74-44F8-849C-EAC126F7FEED}" name="execution" displayName="execution" ref="A1:B2" totalsRowShown="0">
  <tableColumns count="2">
    <tableColumn id="2" xr3:uid="{9D8FBBFE-43E1-459B-BB83-974BD48AEA2D}" name="execution_id">
      <calculatedColumnFormula array="1">ROW()-ROW(execution[#Headers])</calculatedColumnFormula>
    </tableColumn>
    <tableColumn id="1" xr3:uid="{260559C9-6176-420A-B456-5F1A2E088055}" name="execution_ke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EAA6D4-D415-45A5-B87C-B81AA2CEB8D0}" name="executions_strategygroups" displayName="executions_strategygroups" ref="A1:B2" totalsRowShown="0">
  <tableColumns count="2">
    <tableColumn id="1" xr3:uid="{B480C1E0-A18B-44A4-9271-A890910A8D44}" name="execution_key"/>
    <tableColumn id="2" xr3:uid="{94379814-AA06-4DCB-83B7-B4F26E5B74EC}" name="strategygroup_ke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BEE230-73B0-45C0-9EA6-0B026F5FC585}" name="strategygroups" displayName="strategygroups" ref="A1:B2" totalsRowShown="0">
  <tableColumns count="2">
    <tableColumn id="2" xr3:uid="{15ABA8FA-94B0-49D5-9F2F-6C4552B2A0FD}" name="strategygroup_id">
      <calculatedColumnFormula array="1">ROW()-ROW(strategygroups[#Headers])</calculatedColumnFormula>
    </tableColumn>
    <tableColumn id="1" xr3:uid="{5EA40B3F-1B4E-4639-96BB-8439314818AE}" name="strategygroup_key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6B4C0D-DEF7-4C75-9302-C3CAB6D75330}" name="strategygroups_strategies" displayName="strategygroups_strategies" ref="A1:B2" totalsRowShown="0">
  <tableColumns count="2">
    <tableColumn id="1" xr3:uid="{425703CA-658D-4A9F-8994-1BCC68DA32C5}" name="strategygroup_key"/>
    <tableColumn id="2" xr3:uid="{DB151521-D253-4374-8D16-B89EBB944B29}" name="strategy_ke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C8F93F-A69E-4DC7-B912-D24E56CDD186}" name="strategies" displayName="strategies" ref="A1:C2" totalsRowShown="0">
  <tableColumns count="3">
    <tableColumn id="2" xr3:uid="{514E8E68-F2D0-4A21-8423-194F249E39EC}" name="strategy_id">
      <calculatedColumnFormula array="1">ROW()-ROW(strategies[#Headers])</calculatedColumnFormula>
    </tableColumn>
    <tableColumn id="4" xr3:uid="{27B7E50A-7080-4CC9-B96C-5C1F0368FB2E}" name="strategy_key"/>
    <tableColumn id="1" xr3:uid="{B06E03B9-4F58-45E1-B5E2-478FA5B40F46}" name="strategy_name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164972F-56E0-482E-9386-C19D7ABA09BC}" name="strategies_securities" displayName="strategies_securities" ref="A1:B2" totalsRowShown="0">
  <tableColumns count="2">
    <tableColumn id="1" xr3:uid="{5D94A3FB-C0FA-4B4D-BC30-4DBAE8E84648}" name="strategy_key"/>
    <tableColumn id="2" xr3:uid="{54021FA4-2124-4E38-8898-887E19A6591C}" name="security_ke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807F8A-A8F5-4A9A-8A8C-7269F4AA16A3}" name="securities" displayName="securities" ref="A1:M2" totalsRowShown="0">
  <autoFilter ref="A1:M2" xr:uid="{68807F8A-A8F5-4A9A-8A8C-7269F4AA16A3}"/>
  <tableColumns count="13">
    <tableColumn id="13" xr3:uid="{AD00EF7C-8091-4518-9188-D19E693D7551}" name="security_id">
      <calculatedColumnFormula array="1">ROW()-ROW(securities[#Headers])</calculatedColumnFormula>
    </tableColumn>
    <tableColumn id="1" xr3:uid="{B63BD162-9ADF-47E5-914C-F3D47737DD02}" name="security_key">
      <calculatedColumnFormula array="1">_xlfn.TEXTJOIN("-",TRUE,_xlfn._xlws.FILTER(securities[#This Row],INDEX(securities[#Headers], _xlfn.SEQUENCE(1, COLUMNS(securities[]))) &lt;&gt; "security_key"))</calculatedColumnFormula>
    </tableColumn>
    <tableColumn id="2" xr3:uid="{A9108B5B-F0DC-4CDC-88E4-E22BAE7A63DA}" name="ticker"/>
    <tableColumn id="3" xr3:uid="{754BD707-1A56-4363-B0BB-9511A33B76CF}" name="securitytype"/>
    <tableColumn id="4" xr3:uid="{BDF04767-1101-48B4-8DB0-523EEBF85447}" name="resolution"/>
    <tableColumn id="5" xr3:uid="{E956AA11-2C1A-4249-B9C9-8204E8321F92}" name="optionchain_filter.weeklysonly"/>
    <tableColumn id="6" xr3:uid="{EDCCB702-2A05-4282-A346-41D16CFFFE51}" name="optionchain_filter.include_weeklys"/>
    <tableColumn id="7" xr3:uid="{1CC6780C-2A17-4F20-B772-8F783DF1FD2E}" name="optionchain_filter.callsonly"/>
    <tableColumn id="8" xr3:uid="{F847891D-E504-4879-9BC1-DAAB886EBE30}" name="optionchain_filter.putsonly"/>
    <tableColumn id="9" xr3:uid="{B5018911-A5F9-4A24-987B-1DD54D9D9AEE}" name="optionchain_filter.expiration.min_days"/>
    <tableColumn id="10" xr3:uid="{F94B8995-A8FF-4ADB-8349-1B8C3A0B0FB7}" name="optionchain_filter.expiration.max_days"/>
    <tableColumn id="11" xr3:uid="{6B428B1C-A12E-4AE2-AAFB-2E5ADF8AFBE1}" name="optionchain_filter.strikes.min_strike"/>
    <tableColumn id="12" xr3:uid="{630876F0-43BE-444B-9B95-04E5AD5947B3}" name="optionchain_filter.strikes.max_strik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96C-AD75-4B02-8A7E-3D8DB8754306}">
  <sheetPr codeName="Sheet1"/>
  <dimension ref="A1:D23"/>
  <sheetViews>
    <sheetView tabSelected="1" workbookViewId="0">
      <selection activeCell="A2" sqref="A2"/>
    </sheetView>
  </sheetViews>
  <sheetFormatPr defaultRowHeight="14.4" x14ac:dyDescent="0.3"/>
  <cols>
    <col min="1" max="1" width="80.88671875" bestFit="1" customWidth="1"/>
    <col min="2" max="2" width="15" bestFit="1" customWidth="1"/>
    <col min="3" max="3" width="80.88671875" bestFit="1" customWidth="1"/>
    <col min="4" max="4" width="17.109375" bestFit="1" customWidth="1"/>
    <col min="5" max="5" width="18.33203125" bestFit="1" customWidth="1"/>
    <col min="6" max="6" width="27.6640625" bestFit="1" customWidth="1"/>
    <col min="7" max="7" width="28.6640625" bestFit="1" customWidth="1"/>
    <col min="8" max="8" width="12.33203125" bestFit="1" customWidth="1"/>
    <col min="9" max="9" width="13.5546875" bestFit="1" customWidth="1"/>
    <col min="10" max="10" width="15.44140625" bestFit="1" customWidth="1"/>
    <col min="11" max="11" width="12.44140625" bestFit="1" customWidth="1"/>
    <col min="12" max="12" width="13.77734375" bestFit="1" customWidth="1"/>
    <col min="13" max="13" width="80.88671875" bestFit="1" customWidth="1"/>
    <col min="14" max="14" width="12.33203125" bestFit="1" customWidth="1"/>
    <col min="15" max="15" width="25.33203125" bestFit="1" customWidth="1"/>
    <col min="16" max="16" width="8.109375" bestFit="1" customWidth="1"/>
    <col min="17" max="17" width="13.5546875" bestFit="1" customWidth="1"/>
    <col min="18" max="18" width="11.5546875" bestFit="1" customWidth="1"/>
    <col min="19" max="19" width="29" bestFit="1" customWidth="1"/>
    <col min="20" max="20" width="32.6640625" bestFit="1" customWidth="1"/>
    <col min="21" max="21" width="26.21875" bestFit="1" customWidth="1"/>
    <col min="22" max="22" width="25.88671875" bestFit="1" customWidth="1"/>
    <col min="23" max="23" width="36" bestFit="1" customWidth="1"/>
    <col min="24" max="24" width="36.33203125" bestFit="1" customWidth="1"/>
    <col min="25" max="25" width="34" bestFit="1" customWidth="1"/>
    <col min="26" max="26" width="34.33203125" bestFit="1" customWidth="1"/>
  </cols>
  <sheetData>
    <row r="1" spans="1:4" x14ac:dyDescent="0.3">
      <c r="A1" t="s">
        <v>28</v>
      </c>
      <c r="B1" t="str">
        <f>""</f>
        <v/>
      </c>
      <c r="C1" t="s">
        <v>33</v>
      </c>
      <c r="D1" t="str">
        <f>""</f>
        <v/>
      </c>
    </row>
    <row r="2" spans="1:4" x14ac:dyDescent="0.3">
      <c r="A2" t="s">
        <v>37</v>
      </c>
      <c r="B2" t="str">
        <f>""</f>
        <v/>
      </c>
      <c r="C2" t="s">
        <v>34</v>
      </c>
      <c r="D2" t="str">
        <f>""</f>
        <v/>
      </c>
    </row>
    <row r="3" spans="1:4" x14ac:dyDescent="0.3">
      <c r="C3" t="s">
        <v>35</v>
      </c>
    </row>
    <row r="7" spans="1:4" x14ac:dyDescent="0.3">
      <c r="A7" s="5" t="s">
        <v>30</v>
      </c>
    </row>
    <row r="8" spans="1:4" x14ac:dyDescent="0.3">
      <c r="A8" t="s">
        <v>29</v>
      </c>
    </row>
    <row r="10" spans="1:4" x14ac:dyDescent="0.3">
      <c r="A10" s="5" t="s">
        <v>32</v>
      </c>
    </row>
    <row r="17" spans="1:1" x14ac:dyDescent="0.3">
      <c r="A17" s="5" t="s">
        <v>31</v>
      </c>
    </row>
    <row r="18" spans="1:1" x14ac:dyDescent="0.3">
      <c r="A18" t="s">
        <v>36</v>
      </c>
    </row>
    <row r="23" spans="1:1" x14ac:dyDescent="0.3">
      <c r="A23" t="s">
        <v>38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aveJsonToFile">
                <anchor moveWithCells="1" sizeWithCells="1">
                  <from>
                    <xdr:col>0</xdr:col>
                    <xdr:colOff>121920</xdr:colOff>
                    <xdr:row>3</xdr:row>
                    <xdr:rowOff>91440</xdr:rowOff>
                  </from>
                  <to>
                    <xdr:col>0</xdr:col>
                    <xdr:colOff>5524500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aveCsvToFile">
                <anchor moveWithCells="1" sizeWithCells="1">
                  <from>
                    <xdr:col>2</xdr:col>
                    <xdr:colOff>106680</xdr:colOff>
                    <xdr:row>3</xdr:row>
                    <xdr:rowOff>99060</xdr:rowOff>
                  </from>
                  <to>
                    <xdr:col>2</xdr:col>
                    <xdr:colOff>5509260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46AD6-9220-4D0C-AA72-C2F75E4286D6}">
  <sheetPr codeName="Sheet2">
    <tabColor theme="3" tint="0.499984740745262"/>
  </sheetPr>
  <dimension ref="A1:B2"/>
  <sheetViews>
    <sheetView workbookViewId="0">
      <selection activeCell="B2" sqref="B2"/>
    </sheetView>
  </sheetViews>
  <sheetFormatPr defaultRowHeight="14.4" x14ac:dyDescent="0.3"/>
  <cols>
    <col min="1" max="1" width="11.5546875" bestFit="1" customWidth="1"/>
    <col min="2" max="2" width="12.77734375" bestFit="1" customWidth="1"/>
    <col min="3" max="3" width="16.33203125" bestFit="1" customWidth="1"/>
  </cols>
  <sheetData>
    <row r="1" spans="1:2" x14ac:dyDescent="0.3">
      <c r="A1" t="s">
        <v>0</v>
      </c>
      <c r="B1" t="s">
        <v>14</v>
      </c>
    </row>
    <row r="2" spans="1:2" x14ac:dyDescent="0.3">
      <c r="A2" cm="1">
        <f t="array" ref="A2">ROW()-ROW(execution[#Headers])</f>
        <v>1</v>
      </c>
      <c r="B2" t="s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B648F-3F4D-43B2-AAFC-21142A36E1E4}">
  <sheetPr codeName="Sheet3"/>
  <dimension ref="A1:B2"/>
  <sheetViews>
    <sheetView workbookViewId="0">
      <selection activeCell="B1" sqref="B1"/>
    </sheetView>
  </sheetViews>
  <sheetFormatPr defaultRowHeight="14.4" x14ac:dyDescent="0.3"/>
  <cols>
    <col min="1" max="1" width="12.77734375" bestFit="1" customWidth="1"/>
    <col min="2" max="2" width="16.109375" bestFit="1" customWidth="1"/>
  </cols>
  <sheetData>
    <row r="1" spans="1:2" x14ac:dyDescent="0.3">
      <c r="A1" s="1" t="s">
        <v>14</v>
      </c>
      <c r="B1" s="3" t="s">
        <v>23</v>
      </c>
    </row>
    <row r="2" spans="1:2" x14ac:dyDescent="0.3">
      <c r="A2" t="s">
        <v>1</v>
      </c>
      <c r="B2" t="s">
        <v>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A9DD7-8AE7-4DA9-AC61-7EA945D83839}">
  <sheetPr codeName="Sheet4">
    <tabColor theme="5" tint="-0.249977111117893"/>
  </sheetPr>
  <dimension ref="A1:B2"/>
  <sheetViews>
    <sheetView workbookViewId="0">
      <selection activeCell="C2" sqref="C2"/>
    </sheetView>
  </sheetViews>
  <sheetFormatPr defaultRowHeight="14.4" x14ac:dyDescent="0.3"/>
  <cols>
    <col min="1" max="1" width="14.88671875" bestFit="1" customWidth="1"/>
    <col min="2" max="2" width="16.109375" bestFit="1" customWidth="1"/>
    <col min="3" max="3" width="19.6640625" bestFit="1" customWidth="1"/>
  </cols>
  <sheetData>
    <row r="1" spans="1:2" x14ac:dyDescent="0.3">
      <c r="A1" t="s">
        <v>24</v>
      </c>
      <c r="B1" t="s">
        <v>23</v>
      </c>
    </row>
    <row r="2" spans="1:2" x14ac:dyDescent="0.3">
      <c r="A2" cm="1">
        <f t="array" ref="A2">ROW()-ROW(strategygroups[#Headers])</f>
        <v>1</v>
      </c>
      <c r="B2" t="s">
        <v>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B4855-18A6-426C-B6E8-2C18126905DB}">
  <sheetPr codeName="Sheet5"/>
  <dimension ref="A1:B2"/>
  <sheetViews>
    <sheetView workbookViewId="0">
      <selection activeCell="B1" sqref="A1:B2"/>
    </sheetView>
  </sheetViews>
  <sheetFormatPr defaultRowHeight="14.4" x14ac:dyDescent="0.3"/>
  <cols>
    <col min="1" max="1" width="16.109375" bestFit="1" customWidth="1"/>
    <col min="2" max="2" width="11.33203125" bestFit="1" customWidth="1"/>
  </cols>
  <sheetData>
    <row r="1" spans="1:2" x14ac:dyDescent="0.3">
      <c r="A1" s="3" t="s">
        <v>23</v>
      </c>
      <c r="B1" s="4" t="s">
        <v>13</v>
      </c>
    </row>
    <row r="2" spans="1:2" x14ac:dyDescent="0.3">
      <c r="A2" t="s">
        <v>25</v>
      </c>
      <c r="B2" t="s">
        <v>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524C1-5642-4BB7-ADBA-3F16BECC02A6}">
  <sheetPr codeName="Sheet6">
    <tabColor theme="8"/>
  </sheetPr>
  <dimension ref="A1:C2"/>
  <sheetViews>
    <sheetView workbookViewId="0">
      <selection activeCell="E2" sqref="E2"/>
    </sheetView>
  </sheetViews>
  <sheetFormatPr defaultRowHeight="14.4" x14ac:dyDescent="0.3"/>
  <cols>
    <col min="1" max="1" width="10.109375" bestFit="1" customWidth="1"/>
    <col min="2" max="2" width="11.33203125" bestFit="1" customWidth="1"/>
    <col min="3" max="3" width="13.21875" bestFit="1" customWidth="1"/>
  </cols>
  <sheetData>
    <row r="1" spans="1:3" x14ac:dyDescent="0.3">
      <c r="A1" t="s">
        <v>2</v>
      </c>
      <c r="B1" t="s">
        <v>13</v>
      </c>
      <c r="C1" t="s">
        <v>3</v>
      </c>
    </row>
    <row r="2" spans="1:3" x14ac:dyDescent="0.3">
      <c r="A2" cm="1">
        <f t="array" ref="A2">ROW()-ROW(strategies[#Headers])</f>
        <v>1</v>
      </c>
      <c r="B2" t="s">
        <v>4</v>
      </c>
      <c r="C2" t="s">
        <v>27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AFD7D-8462-4E22-A995-54B4F0ED645A}">
  <sheetPr codeName="Sheet7"/>
  <dimension ref="A1:B2"/>
  <sheetViews>
    <sheetView workbookViewId="0">
      <selection sqref="A1:B2"/>
    </sheetView>
  </sheetViews>
  <sheetFormatPr defaultRowHeight="14.4" x14ac:dyDescent="0.3"/>
  <cols>
    <col min="1" max="1" width="11.33203125" bestFit="1" customWidth="1"/>
    <col min="2" max="2" width="25.21875" bestFit="1" customWidth="1"/>
  </cols>
  <sheetData>
    <row r="1" spans="1:2" x14ac:dyDescent="0.3">
      <c r="A1" s="4" t="s">
        <v>13</v>
      </c>
      <c r="B1" s="2" t="s">
        <v>12</v>
      </c>
    </row>
    <row r="2" spans="1:2" x14ac:dyDescent="0.3">
      <c r="A2" t="s">
        <v>4</v>
      </c>
      <c r="B2" t="s">
        <v>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B8321-6564-4CBC-8F73-A24B3FA55600}">
  <sheetPr codeName="Sheet8">
    <tabColor theme="6" tint="0.39997558519241921"/>
  </sheetPr>
  <dimension ref="A1:M2"/>
  <sheetViews>
    <sheetView workbookViewId="0">
      <selection activeCell="B2" sqref="B2"/>
    </sheetView>
  </sheetViews>
  <sheetFormatPr defaultRowHeight="14.4" x14ac:dyDescent="0.3"/>
  <cols>
    <col min="1" max="1" width="12.33203125" bestFit="1" customWidth="1"/>
    <col min="2" max="2" width="25.21875" bestFit="1" customWidth="1"/>
    <col min="3" max="3" width="8.109375" bestFit="1" customWidth="1"/>
    <col min="4" max="4" width="13.5546875" bestFit="1" customWidth="1"/>
    <col min="5" max="5" width="11.5546875" bestFit="1" customWidth="1"/>
    <col min="6" max="6" width="29" bestFit="1" customWidth="1"/>
    <col min="7" max="7" width="32.6640625" bestFit="1" customWidth="1"/>
    <col min="8" max="8" width="26.21875" bestFit="1" customWidth="1"/>
    <col min="9" max="9" width="25.88671875" bestFit="1" customWidth="1"/>
    <col min="10" max="10" width="36" bestFit="1" customWidth="1"/>
    <col min="11" max="11" width="36.33203125" bestFit="1" customWidth="1"/>
    <col min="12" max="12" width="34" bestFit="1" customWidth="1"/>
    <col min="13" max="13" width="34.33203125" bestFit="1" customWidth="1"/>
  </cols>
  <sheetData>
    <row r="1" spans="1:13" x14ac:dyDescent="0.3">
      <c r="A1" t="s">
        <v>8</v>
      </c>
      <c r="B1" t="s">
        <v>12</v>
      </c>
      <c r="C1" t="s">
        <v>9</v>
      </c>
      <c r="D1" t="s">
        <v>10</v>
      </c>
      <c r="E1" t="s">
        <v>11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</row>
    <row r="2" spans="1:13" x14ac:dyDescent="0.3">
      <c r="A2" cm="1">
        <f t="array" ref="A2">ROW()-ROW(securities[#Headers])</f>
        <v>1</v>
      </c>
      <c r="B2" t="str" cm="1">
        <f t="array" ref="B2">_xlfn.TEXTJOIN("-",TRUE,_xlfn._xlws.FILTER(securities[#This Row],INDEX(securities[#Headers], _xlfn.SEQUENCE(1, COLUMNS(securities[]))) &lt;&gt; "security_key"))</f>
        <v>1-SPX-IndexOption-Daily-1-1-45</v>
      </c>
      <c r="C2" t="s">
        <v>5</v>
      </c>
      <c r="D2" t="s">
        <v>6</v>
      </c>
      <c r="E2" t="s">
        <v>7</v>
      </c>
      <c r="G2">
        <v>1</v>
      </c>
      <c r="J2">
        <v>1</v>
      </c>
      <c r="K2">
        <v>45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573FE-6CF6-401D-BED0-4F1F323F61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power_query</vt:lpstr>
      <vt:lpstr>executions</vt:lpstr>
      <vt:lpstr>executions_strategygroups</vt:lpstr>
      <vt:lpstr>strategygroups</vt:lpstr>
      <vt:lpstr>strategygroups_strategies</vt:lpstr>
      <vt:lpstr>strategies</vt:lpstr>
      <vt:lpstr>strategies_securities</vt:lpstr>
      <vt:lpstr>securities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Patrizio Peroni</dc:creator>
  <cp:lastModifiedBy>Patrizio Peroni</cp:lastModifiedBy>
  <dcterms:created xsi:type="dcterms:W3CDTF">2025-09-22T02:14:44Z</dcterms:created>
  <dcterms:modified xsi:type="dcterms:W3CDTF">2025-09-26T08:07:34Z</dcterms:modified>
</cp:coreProperties>
</file>